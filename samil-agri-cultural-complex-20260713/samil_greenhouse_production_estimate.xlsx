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15ccddf4c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0985c15e2f394134"/>
    <x:sheet xmlns:r="http://schemas.openxmlformats.org/officeDocument/2006/relationships" name="공종별집계" sheetId="2" r:id="R9d20727d66d94392"/>
    <x:sheet xmlns:r="http://schemas.openxmlformats.org/officeDocument/2006/relationships" name="내역서" sheetId="3" r:id="R2b8e4994457f4d90"/>
    <x:sheet xmlns:r="http://schemas.openxmlformats.org/officeDocument/2006/relationships" name="생산량" sheetId="4" r:id="R4f6498e0aaf1497d"/>
    <x:sheet xmlns:r="http://schemas.openxmlformats.org/officeDocument/2006/relationships" name="단가기준" sheetId="5" r:id="Rd17e90154218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.0%"/>
  </x:numFmts>
  <x:fonts count="5">
    <x:font>
      <x:sz val="11"/>
      <x:name val="Carlito"/>
    </x:font>
    <x:font>
      <x:b/>
      <x:sz val="18"/>
      <x:color rgb="FF0F5D45"/>
      <x:name val="Carlito"/>
    </x:font>
    <x:font>
      <x:b/>
      <x:sz val="11"/>
      <x:color rgb="FF0F5D45"/>
      <x:name val="Carlito"/>
    </x:font>
    <x:font>
      <x:b/>
      <x:sz val="10"/>
      <x:color rgb="FF0F5D45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E1E7E3"/>
      </x:left>
      <x:right style="thin">
        <x:color rgb="FFE1E7E3"/>
      </x:right>
      <x:top style="thin">
        <x:color rgb="FFE1E7E3"/>
      </x:top>
      <x:bottom style="thin">
        <x:color rgb="FFE1E7E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0" fillId="0" borderId="2" xfId="0" applyNumberFormat="1" applyFont="1" applyFill="1" applyBorder="1"/>
    <x:xf numFmtId="0" fontId="2" borderId="2" xfId="0" applyNumberFormat="1" applyFont="1" applyFill="0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borderId="2" xfId="0" applyNumberFormat="1" applyFont="1" applyFill="0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3" borderId="1" xfId="0" applyNumberFormat="1" applyFont="1" applyFill="0" applyBorder="1"/>
    <x:xf numFmtId="200" fontId="3" borderId="2" xfId="0" applyNumberFormat="1" applyFont="1" applyFill="0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200" fontId="3" borderId="1" xfId="0" applyNumberFormat="1" applyFont="1" applyFill="0" applyBorder="1"/>
    <x:xf numFmtId="202" fontId="4" fillId="0" borderId="2" xfId="0" applyNumberFormat="1" applyFont="1" applyFill="1" applyBorder="1" applyAlignment="1">
      <x:alignment wrapText="1"/>
    </x:xf>
    <x:xf numFmtId="202" fontId="3" borderId="1" xfId="0" applyNumberFormat="1" applyFont="1" applyFill="0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200" fontId="3" borderId="1" xfId="0" applyNumberFormat="1" applyFont="1" applyFill="0" applyBorder="1" applyAlignment="1">
      <x:alignment wrapText="1"/>
    </x:xf>
    <x:xf numFmtId="202" fontId="3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7991497e94842" /><Relationship Type="http://schemas.openxmlformats.org/officeDocument/2006/relationships/theme" Target="/xl/theme/theme1.xml" Id="R68528e0d5d7b4def" /><Relationship Type="http://schemas.openxmlformats.org/officeDocument/2006/relationships/sharedStrings" Target="/xl/sharedStrings.xml" Id="Red07d46f95de4c83" /><Relationship Type="http://schemas.openxmlformats.org/officeDocument/2006/relationships/worksheet" Target="/xl/worksheets/sheet1.xml" Id="R0985c15e2f394134" /><Relationship Type="http://schemas.openxmlformats.org/officeDocument/2006/relationships/worksheet" Target="/xl/worksheets/sheet2.xml" Id="R9d20727d66d94392" /><Relationship Type="http://schemas.openxmlformats.org/officeDocument/2006/relationships/worksheet" Target="/xl/worksheets/sheet3.xml" Id="R2b8e4994457f4d90" /><Relationship Type="http://schemas.openxmlformats.org/officeDocument/2006/relationships/worksheet" Target="/xl/worksheets/sheet4.xml" Id="R4f6498e0aaf1497d" /><Relationship Type="http://schemas.openxmlformats.org/officeDocument/2006/relationships/worksheet" Target="/xl/worksheets/sheet5.xml" Id="Rd17e90154218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</x:cols>
  <x:sheetData>
    <x:row r="1" ht="15" hidden="0" customHeight="1">
      <x:c r="A1" s="20" t="str">
        <x:v>울산 울주군 12,000평 생산시설 예비 산정</x:v>
      </x:c>
      <x:c r="B1" s="20"/>
      <x:c r="C1" s="20"/>
      <x:c r="D1" s="20"/>
      <x:c r="E1" s="20"/>
      <x:c r="F1" s="20"/>
      <x:c r="G1" s="20"/>
    </x:row>
    <x:row r="2" ht="15" hidden="0" customHeight="1">
      <x:c r="A2" s="21"/>
      <x:c r="B2" s="21"/>
      <x:c r="C2" s="21"/>
      <x:c r="D2" s="21"/>
      <x:c r="E2" s="21"/>
      <x:c r="F2" s="21"/>
      <x:c r="G2" s="21"/>
    </x:row>
    <x:row r="3" ht="15" hidden="0" customHeight="1">
      <x:c r="A3" s="11" t="str">
        <x:v>토지 전체</x:v>
      </x:c>
      <x:c r="B3" s="11" t="str">
        <x:v>12,000평</x:v>
      </x:c>
      <x:c r="C3" s="11" t="str">
        <x:v>울산 울주군 대상지</x:v>
      </x:c>
      <x:c r="D3" s="21"/>
      <x:c r="E3" s="21"/>
      <x:c r="F3" s="21"/>
      <x:c r="G3" s="21"/>
    </x:row>
    <x:row r="4" ht="15" hidden="0" customHeight="1">
      <x:c r="A4" s="12" t="str">
        <x:v>생산 하우스 기준</x:v>
      </x:c>
      <x:c r="B4" s="12" t="str">
        <x:v>4,500평</x:v>
      </x:c>
      <x:c r="C4" s="12" t="str">
        <x:v>범위 4,000-5,000평</x:v>
      </x:c>
      <x:c r="D4" s="21"/>
      <x:c r="E4" s="21"/>
      <x:c r="F4" s="21"/>
      <x:c r="G4" s="21"/>
    </x:row>
    <x:row r="5" ht="15" hidden="0" customHeight="1">
      <x:c r="A5" s="12" t="str">
        <x:v>하우스 구조</x:v>
      </x:c>
      <x:c r="B5" s="12" t="str">
        <x:v>연동형 비닐하우스</x:v>
      </x:c>
      <x:c r="C5" s="12" t="str">
        <x:v>온라인 견적 시뮬레이터 08-연동-1 기준 단가 387,000원/평</x:v>
      </x:c>
      <x:c r="D5" s="21"/>
      <x:c r="E5" s="21"/>
      <x:c r="F5" s="21"/>
      <x:c r="G5" s="21"/>
    </x:row>
    <x:row r="6" ht="15" hidden="0" customHeight="1">
      <x:c r="A6" s="12" t="str">
        <x:v>전처리·냉장 면적</x:v>
      </x:c>
      <x:c r="B6" s="12" t="str">
        <x:v>하우스의 6%</x:v>
      </x:c>
      <x:c r="C6" s="12" t="str">
        <x:v>적정 범위 5-7%, 기준안 270평</x:v>
      </x:c>
      <x:c r="D6" s="21"/>
      <x:c r="E6" s="21"/>
      <x:c r="F6" s="21"/>
      <x:c r="G6" s="21"/>
    </x:row>
    <x:row r="7" ht="15" hidden="0" customHeight="1">
      <x:c r="A7" s="12" t="str">
        <x:v>작물 가정</x:v>
      </x:c>
      <x:c r="B7" s="12" t="str">
        <x:v>딸기 고설재배</x:v>
      </x:c>
      <x:c r="C7" s="12" t="str">
        <x:v>논산 3,000평 수익분석 9,900㎡ 70.4t 기준</x:v>
      </x:c>
      <x:c r="D7" s="21"/>
      <x:c r="E7" s="21"/>
      <x:c r="F7" s="21"/>
      <x:c r="G7" s="21"/>
    </x:row>
    <x:row r="8" ht="15" hidden="0" customHeight="1">
      <x:c r="A8" s="21"/>
      <x:c r="B8" s="21"/>
      <x:c r="C8" s="21"/>
      <x:c r="D8" s="21"/>
      <x:c r="E8" s="21"/>
      <x:c r="F8" s="21"/>
      <x:c r="G8" s="21"/>
    </x:row>
    <x:row r="9" ht="15" hidden="0" customHeight="1">
      <x:c r="A9" s="21"/>
      <x:c r="B9" s="21"/>
      <x:c r="C9" s="21"/>
      <x:c r="D9" s="21"/>
      <x:c r="E9" s="21"/>
      <x:c r="F9" s="21"/>
      <x:c r="G9" s="21"/>
    </x:row>
    <x:row r="10" ht="15" hidden="0" customHeight="1">
      <x:c r="A10" s="22" t="str">
        <x:v>구분</x:v>
      </x:c>
      <x:c r="B10" s="22" t="str">
        <x:v>하우스 평</x:v>
      </x:c>
      <x:c r="C10" s="22" t="str">
        <x:v>하우스 ㎡</x:v>
      </x:c>
      <x:c r="D10" s="22" t="str">
        <x:v>유효재배 ㎡</x:v>
      </x:c>
      <x:c r="E10" s="22" t="str">
        <x:v>예상 생산량 t/년</x:v>
      </x:c>
      <x:c r="F10" s="22" t="str">
        <x:v>평균 단가 원/kg</x:v>
      </x:c>
      <x:c r="G10" s="22" t="str">
        <x:v>매출 추정</x:v>
      </x:c>
    </x:row>
    <x:row r="11" ht="15" hidden="0" customHeight="1">
      <x:c r="A11" s="12" t="str">
        <x:f>'생산량'!A3</x:f>
        <x:v>보수</x:v>
      </x:c>
      <x:c r="B11" s="15" t="n">
        <x:f>'생산량'!B3</x:f>
        <x:v>4000</x:v>
      </x:c>
      <x:c r="C11" s="15" t="n">
        <x:f>'생산량'!C3</x:f>
        <x:v>13223.2</x:v>
      </x:c>
      <x:c r="D11" s="15" t="n">
        <x:f>'생산량'!D3</x:f>
        <x:v>10578.560000000001</x:v>
      </x:c>
      <x:c r="E11" s="16" t="n">
        <x:f>'생산량'!F3</x:f>
        <x:v>58.182080000000006</x:v>
      </x:c>
      <x:c r="F11" s="15" t="n">
        <x:f>'생산량'!G3</x:f>
        <x:v>8000</x:v>
      </x:c>
      <x:c r="G11" s="15" t="n">
        <x:f>'생산량'!H3</x:f>
        <x:v>465456640.00000006</x:v>
      </x:c>
    </x:row>
    <x:row r="12" ht="15" hidden="0" customHeight="1">
      <x:c r="A12" s="12" t="str">
        <x:f>'생산량'!A4</x:f>
        <x:v>기준</x:v>
      </x:c>
      <x:c r="B12" s="15" t="n">
        <x:f>'생산량'!B4</x:f>
        <x:v>4500</x:v>
      </x:c>
      <x:c r="C12" s="15" t="n">
        <x:f>'생산량'!C4</x:f>
        <x:v>14876.1</x:v>
      </x:c>
      <x:c r="D12" s="15" t="n">
        <x:f>'생산량'!D4</x:f>
        <x:v>11900.880000000001</x:v>
      </x:c>
      <x:c r="E12" s="16" t="n">
        <x:f>'생산량'!F4</x:f>
        <x:v>84.6669474909091</x:v>
      </x:c>
      <x:c r="F12" s="15" t="n">
        <x:f>'생산량'!G4</x:f>
        <x:v>10000</x:v>
      </x:c>
      <x:c r="G12" s="15" t="n">
        <x:f>'생산량'!H4</x:f>
        <x:v>846669474.9090909</x:v>
      </x:c>
    </x:row>
    <x:row r="13" ht="15" hidden="0" customHeight="1">
      <x:c r="A13" s="12" t="str">
        <x:f>'생산량'!A5</x:f>
        <x:v>상향</x:v>
      </x:c>
      <x:c r="B13" s="15" t="n">
        <x:f>'생산량'!B5</x:f>
        <x:v>5000</x:v>
      </x:c>
      <x:c r="C13" s="15" t="n">
        <x:f>'생산량'!C5</x:f>
        <x:v>16529</x:v>
      </x:c>
      <x:c r="D13" s="15" t="n">
        <x:f>'생산량'!D5</x:f>
        <x:v>13223.2</x:v>
      </x:c>
      <x:c r="E13" s="16" t="n">
        <x:f>'생산량'!F5</x:f>
        <x:v>112.39720000000001</x:v>
      </x:c>
      <x:c r="F13" s="15" t="n">
        <x:f>'생산량'!G5</x:f>
        <x:v>12000</x:v>
      </x:c>
      <x:c r="G13" s="15" t="n">
        <x:f>'생산량'!H5</x:f>
        <x:v>1348766400.0000002</x:v>
      </x:c>
    </x:row>
    <x:row r="14" ht="15" hidden="0" customHeight="1">
      <x:c r="A14" s="21"/>
      <x:c r="B14" s="21"/>
      <x:c r="C14" s="21"/>
      <x:c r="D14" s="21"/>
      <x:c r="E14" s="21"/>
      <x:c r="F14" s="21"/>
      <x:c r="G14" s="21"/>
    </x:row>
    <x:row r="15" ht="15" hidden="0" customHeight="1">
      <x:c r="A15" s="21"/>
      <x:c r="B15" s="21"/>
      <x:c r="C15" s="21"/>
      <x:c r="D15" s="21"/>
      <x:c r="E15" s="21"/>
      <x:c r="F15" s="21"/>
      <x:c r="G15" s="21"/>
    </x:row>
    <x:row r="16" ht="15" hidden="0" customHeight="1">
      <x:c r="A16" s="11" t="str">
        <x:v>총공사비 기준안</x:v>
      </x:c>
      <x:c r="B16" s="14" t="n">
        <x:f>'공종별집계'!C21</x:f>
        <x:v>3683678300</x:v>
      </x:c>
      <x:c r="C16" s="21"/>
      <x:c r="D16" s="21"/>
      <x:c r="E16" s="21"/>
      <x:c r="F16" s="21"/>
      <x:c r="G16" s="21"/>
    </x:row>
    <x:row r="17" ht="15" hidden="0" customHeight="1">
      <x:c r="A17" s="12" t="str">
        <x:v>VAT 제외</x:v>
      </x:c>
      <x:c r="B17" s="15" t="n">
        <x:f>'공종별집계'!C21</x:f>
        <x:v>3683678300</x:v>
      </x:c>
      <x:c r="C17" s="21"/>
      <x:c r="D17" s="21"/>
      <x:c r="E17" s="21"/>
      <x:c r="F17" s="21"/>
      <x:c r="G17" s="21"/>
    </x:row>
    <x:row r="18" ht="15" hidden="0" customHeight="1">
      <x:c r="A18" s="12" t="str">
        <x:v>VAT 포함</x:v>
      </x:c>
      <x:c r="B18" s="15" t="n">
        <x:f>'공종별집계'!C21*1.1</x:f>
        <x:v>4052046130.0000005</x:v>
      </x:c>
      <x:c r="C18" s="21"/>
      <x:c r="D18" s="21"/>
      <x:c r="E18" s="21"/>
      <x:c r="F18" s="21"/>
      <x:c r="G18" s="21"/>
    </x:row>
    <x:row r="19" ht="15" hidden="0" customHeight="1">
      <x:c r="A19" s="12" t="str">
        <x:v>전처리·냉장 면적</x:v>
      </x:c>
      <x:c r="B19" s="12" t="str">
        <x:v>270평</x:v>
      </x:c>
      <x:c r="C19" s="21"/>
      <x:c r="D19" s="21"/>
      <x:c r="E19" s="21"/>
      <x:c r="F19" s="21"/>
      <x:c r="G19" s="21"/>
    </x:row>
    <x:row r="20" ht="15" hidden="0" customHeight="1">
      <x:c r="A20" s="12" t="str">
        <x:v>비고</x:v>
      </x:c>
      <x:c r="B20" s="12" t="str">
        <x:v>토목, 인허가, 외부 건축설계, 한전 인입, 법률·세무 비용 제외</x:v>
      </x:c>
      <x:c r="C20" s="21"/>
      <x:c r="D20" s="21"/>
      <x:c r="E20" s="21"/>
      <x:c r="F20" s="21"/>
      <x:c r="G20" s="21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6" hidden="0" customWidth="1"/>
    <x:col min="4" max="4" width="9.109999656677246" hidden="0" customWidth="1"/>
    <x:col min="5" max="5" width="24" hidden="0" customWidth="1"/>
  </x:cols>
  <x:sheetData>
    <x:row r="1" ht="15" hidden="0" customHeight="1">
      <x:c r="A1" s="20" t="str">
        <x:v>공종별 집계표 - 기준안 4,500평</x:v>
      </x:c>
      <x:c r="B1" s="20"/>
      <x:c r="C1" s="20"/>
      <x:c r="D1" s="20"/>
      <x:c r="E1" s="20"/>
    </x:row>
    <x:row r="2" ht="15" hidden="0" customHeight="1">
      <x:c r="A2" s="21"/>
      <x:c r="B2" s="21"/>
      <x:c r="C2" s="21"/>
      <x:c r="D2" s="21"/>
      <x:c r="E2" s="21"/>
    </x:row>
    <x:row r="3" ht="15" hidden="0" customHeight="1">
      <x:c r="A3" s="22" t="str">
        <x:v>공종</x:v>
      </x:c>
      <x:c r="B3" s="22" t="str">
        <x:v>산출기준</x:v>
      </x:c>
      <x:c r="C3" s="22" t="str">
        <x:v>금액</x:v>
      </x:c>
      <x:c r="D3" s="22" t="str">
        <x:v>비율</x:v>
      </x:c>
      <x:c r="E3" s="22" t="str">
        <x:v>비고</x:v>
      </x:c>
    </x:row>
    <x:row r="4" ht="15" hidden="0" customHeight="1">
      <x:c r="A4" s="12" t="str">
        <x:v>가설공사</x:v>
      </x:c>
      <x:c r="B4" s="12" t="str">
        <x:v>현장 가설, 안전, 임시동선</x:v>
      </x:c>
      <x:c r="C4" s="15" t="n">
        <x:v>52245000</x:v>
      </x:c>
      <x:c r="D4" s="18" t="n">
        <x:f>C4/$C$21</x:f>
        <x:v>0.01418283458683132</x:v>
      </x:c>
      <x:c r="E4" s="12" t="str">
        <x:v>온라인 견적 구조비 배분</x:v>
      </x:c>
    </x:row>
    <x:row r="5" ht="15" hidden="0" customHeight="1">
      <x:c r="A5" s="12" t="str">
        <x:v>기초공사</x:v>
      </x:c>
      <x:c r="B5" s="12" t="str">
        <x:v>독립기초/줄기초, 터파기, 되메우기</x:v>
      </x:c>
      <x:c r="C5" s="15" t="n">
        <x:v>226395000</x:v>
      </x:c>
      <x:c r="D5" s="18" t="n">
        <x:f>C5/$C$21</x:f>
        <x:v>0.061458949876269056</x:v>
      </x:c>
      <x:c r="E5" s="12" t="str">
        <x:v>지반조사 전 예비</x:v>
      </x:c>
    </x:row>
    <x:row r="6" ht="15" hidden="0" customHeight="1">
      <x:c r="A6" s="12" t="str">
        <x:v>철골·골조공사</x:v>
      </x:c>
      <x:c r="B6" s="12" t="str">
        <x:v>연동형 서까래, 기둥, 도리, 브레싱</x:v>
      </x:c>
      <x:c r="C6" s="15" t="n">
        <x:v>592110000</x:v>
      </x:c>
      <x:c r="D6" s="18" t="n">
        <x:f>C6/$C$21</x:f>
        <x:v>0.1607387919840883</x:v>
      </x:c>
      <x:c r="E6" s="12" t="str">
        <x:v>08-연동-1 표준 단가 기준</x:v>
      </x:c>
    </x:row>
    <x:row r="7" ht="15" hidden="0" customHeight="1">
      <x:c r="A7" s="12" t="str">
        <x:v>알루미늄·홈통</x:v>
      </x:c>
      <x:c r="B7" s="12" t="str">
        <x:v>곡부 홈통, 선홈통, 마감재</x:v>
      </x:c>
      <x:c r="C7" s="15" t="n">
        <x:v>121905000</x:v>
      </x:c>
      <x:c r="D7" s="18" t="n">
        <x:f>C7/$C$21</x:f>
        <x:v>0.03309328070260641</x:v>
      </x:c>
      <x:c r="E7" s="12" t="str">
        <x:v>연동형 필수</x:v>
      </x:c>
    </x:row>
    <x:row r="8" ht="15" hidden="0" customHeight="1">
      <x:c r="A8" s="12" t="str">
        <x:v>피복공사</x:v>
      </x:c>
      <x:c r="B8" s="12" t="str">
        <x:v>PO/장수필름, 패드, 클립</x:v>
      </x:c>
      <x:c r="C8" s="15" t="n">
        <x:v>156735000</x:v>
      </x:c>
      <x:c r="D8" s="18" t="n">
        <x:f>C8/$C$21</x:f>
        <x:v>0.04254850376049396</x:v>
      </x:c>
      <x:c r="E8" s="12" t="str">
        <x:v>필름 사양 미확정</x:v>
      </x:c>
    </x:row>
    <x:row r="9" ht="15" hidden="0" customHeight="1">
      <x:c r="A9" s="12" t="str">
        <x:v>천창·측창 개폐</x:v>
      </x:c>
      <x:c r="B9" s="12" t="str">
        <x:v>개폐축, 모터, 리미트, 제어반 연동</x:v>
      </x:c>
      <x:c r="C9" s="15" t="n">
        <x:v>121905000</x:v>
      </x:c>
      <x:c r="D9" s="18" t="n">
        <x:f>C9/$C$21</x:f>
        <x:v>0.03309328070260641</x:v>
      </x:c>
      <x:c r="E9" s="12" t="str">
        <x:v>환기 자동화</x:v>
      </x:c>
    </x:row>
    <x:row r="10" ht="15" hidden="0" customHeight="1">
      <x:c r="A10" s="12" t="str">
        <x:v>수평스크린·보온</x:v>
      </x:c>
      <x:c r="B10" s="12" t="str">
        <x:v>차광/보온커튼, 와이어, 구동부</x:v>
      </x:c>
      <x:c r="C10" s="15" t="n">
        <x:v>174150000</x:v>
      </x:c>
      <x:c r="D10" s="18" t="n">
        <x:f>C10/$C$21</x:f>
        <x:v>0.04727611528943773</x:v>
      </x:c>
      <x:c r="E10" s="12" t="str">
        <x:v>딸기 기준 권장</x:v>
      </x:c>
    </x:row>
    <x:row r="11" ht="15" hidden="0" customHeight="1">
      <x:c r="A11" s="12" t="str">
        <x:v>유동휀·순환</x:v>
      </x:c>
      <x:c r="B11" s="12" t="str">
        <x:v>순환팬, 방재 보조, 훈증기 예비</x:v>
      </x:c>
      <x:c r="C11" s="15" t="n">
        <x:v>52245000</x:v>
      </x:c>
      <x:c r="D11" s="18" t="n">
        <x:f>C11/$C$21</x:f>
        <x:v>0.01418283458683132</x:v>
      </x:c>
      <x:c r="E11" s="12" t="str">
        <x:v>현장 설계 필요</x:v>
      </x:c>
    </x:row>
    <x:row r="12" ht="15" hidden="0" customHeight="1">
      <x:c r="A12" s="12" t="str">
        <x:v>행잉거터·고설베드</x:v>
      </x:c>
      <x:c r="B12" s="12" t="str">
        <x:v>딸기 고설 재배라인, 배액 회수</x:v>
      </x:c>
      <x:c r="C12" s="15" t="n">
        <x:v>540000000</x:v>
      </x:c>
      <x:c r="D12" s="18" t="n">
        <x:f>C12/$C$21</x:f>
        <x:v>0.14659260554864414</x:v>
      </x:c>
      <x:c r="E12" s="12" t="str">
        <x:v>생산설비 별도</x:v>
      </x:c>
    </x:row>
    <x:row r="13" ht="15" hidden="0" customHeight="1">
      <x:c r="A13" s="12" t="str">
        <x:v>양액·관수설비</x:v>
      </x:c>
      <x:c r="B13" s="12" t="str">
        <x:v>양액기, 원수·혼합탱크, 관수라인</x:v>
      </x:c>
      <x:c r="C13" s="15" t="n">
        <x:v>382500000</x:v>
      </x:c>
      <x:c r="D13" s="18" t="n">
        <x:f>C13/$C$21</x:f>
        <x:v>0.10383642893028959</x:v>
      </x:c>
      <x:c r="E13" s="12" t="str">
        <x:v>EC/pH 제어 포함 예비</x:v>
      </x:c>
    </x:row>
    <x:row r="14" ht="15" hidden="0" customHeight="1">
      <x:c r="A14" s="12" t="str">
        <x:v>전기·수배전</x:v>
      </x:c>
      <x:c r="B14" s="12" t="str">
        <x:v>전기 간선, 분전반, 접지, 통신</x:v>
      </x:c>
      <x:c r="C14" s="15" t="n">
        <x:v>247500000</x:v>
      </x:c>
      <x:c r="D14" s="18" t="n">
        <x:f>C14/$C$21</x:f>
        <x:v>0.06718827754312856</x:v>
      </x:c>
      <x:c r="E14" s="12" t="str">
        <x:v>한전 인입 별도</x:v>
      </x:c>
    </x:row>
    <x:row r="15" ht="15" hidden="0" customHeight="1">
      <x:c r="A15" s="12" t="str">
        <x:v>MESH 환경제어</x:v>
      </x:c>
      <x:c r="B15" s="12" t="str">
        <x:v>AI Hub, 제어모듈, 센서, 배터리팩</x:v>
      </x:c>
      <x:c r="C15" s="15" t="n">
        <x:v>55000000</x:v>
      </x:c>
      <x:c r="D15" s="18" t="n">
        <x:f>C15/$C$21</x:f>
        <x:v>0.014930728342917459</x:v>
      </x:c>
      <x:c r="E15" s="12" t="str">
        <x:v>대형 현장 예비</x:v>
      </x:c>
    </x:row>
    <x:row r="16" ht="15" hidden="0" customHeight="1">
      <x:c r="A16" s="12" t="str">
        <x:v>전처리·선별실</x:v>
      </x:c>
      <x:c r="B16" s="12" t="str">
        <x:v>135평 x 2,000,000원/평</x:v>
      </x:c>
      <x:c r="C16" s="15" t="n">
        <x:v>270000000</x:v>
      </x:c>
      <x:c r="D16" s="18" t="n">
        <x:f>C16/$C$21</x:f>
        <x:v>0.07329630277432207</x:v>
      </x:c>
      <x:c r="E16" s="12" t="str">
        <x:v>하우스 3%</x:v>
      </x:c>
    </x:row>
    <x:row r="17" ht="15" hidden="0" customHeight="1">
      <x:c r="A17" s="12" t="str">
        <x:v>세척·작업실</x:v>
      </x:c>
      <x:c r="B17" s="12" t="str">
        <x:v>45평 x 2,000,000원/평</x:v>
      </x:c>
      <x:c r="C17" s="15" t="n">
        <x:v>90000000</x:v>
      </x:c>
      <x:c r="D17" s="18" t="n">
        <x:f>C17/$C$21</x:f>
        <x:v>0.024432100924774023</x:v>
      </x:c>
      <x:c r="E17" s="12" t="str">
        <x:v>하우스 1%</x:v>
      </x:c>
    </x:row>
    <x:row r="18" ht="15" hidden="0" customHeight="1">
      <x:c r="A18" s="12" t="str">
        <x:v>예냉·냉장창고</x:v>
      </x:c>
      <x:c r="B18" s="12" t="str">
        <x:v>67.5평 x 4,500,000원/평</x:v>
      </x:c>
      <x:c r="C18" s="15" t="n">
        <x:v>303750000</x:v>
      </x:c>
      <x:c r="D18" s="18" t="n">
        <x:f>C18/$C$21</x:f>
        <x:v>0.08245834062111233</x:v>
      </x:c>
      <x:c r="E18" s="12" t="str">
        <x:v>하우스 1.5%</x:v>
      </x:c>
    </x:row>
    <x:row r="19" ht="15" hidden="0" customHeight="1">
      <x:c r="A19" s="12" t="str">
        <x:v>자재·기계실</x:v>
      </x:c>
      <x:c r="B19" s="12" t="str">
        <x:v>22.5평 x 2,500,000원/평</x:v>
      </x:c>
      <x:c r="C19" s="15" t="n">
        <x:v>56250000</x:v>
      </x:c>
      <x:c r="D19" s="18" t="n">
        <x:f>C19/$C$21</x:f>
        <x:v>0.015270063077983764</x:v>
      </x:c>
      <x:c r="E19" s="12" t="str">
        <x:v>하우스 0.5%</x:v>
      </x:c>
    </x:row>
    <x:row r="20" ht="15" hidden="0" customHeight="1">
      <x:c r="A20" s="12" t="str">
        <x:v>예비비</x:v>
      </x:c>
      <x:c r="B20" s="12" t="str">
        <x:v>직접공사비 x 7%</x:v>
      </x:c>
      <x:c r="C20" s="15" t="n">
        <x:f>SUM(C4:C19)*7%</x:f>
        <x:v>240988300.00000003</x:v>
      </x:c>
      <x:c r="D20" s="18" t="n">
        <x:f>C20/$C$21</x:f>
        <x:v>0.06542056074766356</x:v>
      </x:c>
      <x:c r="E20" s="12" t="str">
        <x:v>수량산출 전 리스크</x:v>
      </x:c>
    </x:row>
    <x:row r="21" ht="15" hidden="0" customHeight="1">
      <x:c r="A21" s="22" t="str">
        <x:v>합계</x:v>
      </x:c>
      <x:c r="B21" s="22" t="str">
        <x:v>VAT 제외</x:v>
      </x:c>
      <x:c r="C21" s="23" t="n">
        <x:f>SUM(C4:C20)</x:f>
        <x:v>3683678300</x:v>
      </x:c>
      <x:c r="D21" s="24" t="n">
        <x:f>1</x:f>
        <x:v>1</x:v>
      </x:c>
      <x:c r="E21" s="22" t="str">
        <x:v>예비견적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.109999895095825" hidden="0" customWidth="1"/>
    <x:col min="3" max="3" width="3.7799999713897705" hidden="0" customWidth="1"/>
    <x:col min="4" max="4" width="7.110000133514404" hidden="0" customWidth="1"/>
    <x:col min="5" max="5" width="8.779999732971191" hidden="0" customWidth="1"/>
    <x:col min="6" max="6" width="28" hidden="0" customWidth="1"/>
  </x:cols>
  <x:sheetData>
    <x:row r="1" ht="15" hidden="0" customHeight="1">
      <x:c r="A1" s="20" t="str">
        <x:v>내역서 - 기준안 4,500평</x:v>
      </x:c>
      <x:c r="B1" s="20"/>
      <x:c r="C1" s="20"/>
      <x:c r="D1" s="20"/>
      <x:c r="E1" s="20"/>
      <x:c r="F1" s="20"/>
    </x:row>
    <x:row r="2" ht="15" hidden="0" customHeight="1">
      <x:c r="A2" s="21"/>
      <x:c r="B2" s="21"/>
      <x:c r="C2" s="21"/>
      <x:c r="D2" s="21"/>
      <x:c r="E2" s="21"/>
      <x:c r="F2" s="21"/>
    </x:row>
    <x:row r="3" ht="15" hidden="0" customHeight="1">
      <x:c r="A3" s="22" t="str">
        <x:v>품명</x:v>
      </x:c>
      <x:c r="B3" s="22" t="str">
        <x:v>단위</x:v>
      </x:c>
      <x:c r="C3" s="22" t="str">
        <x:v>수량</x:v>
      </x:c>
      <x:c r="D3" s="22" t="str">
        <x:v>단가</x:v>
      </x:c>
      <x:c r="E3" s="22" t="str">
        <x:v>금액</x:v>
      </x:c>
      <x:c r="F3" s="22" t="str">
        <x:v>비고</x:v>
      </x:c>
    </x:row>
    <x:row r="4" ht="15" hidden="0" customHeight="1">
      <x:c r="A4" s="12" t="str">
        <x:v>연동형 비닐하우스 구조/피복</x:v>
      </x:c>
      <x:c r="B4" s="12" t="str">
        <x:v>평</x:v>
      </x:c>
      <x:c r="C4" s="15" t="n">
        <x:v>4500</x:v>
      </x:c>
      <x:c r="D4" s="15" t="n">
        <x:v>387000</x:v>
      </x:c>
      <x:c r="E4" s="15" t="n">
        <x:f>C4*D4</x:f>
        <x:v>1741500000</x:v>
      </x:c>
      <x:c r="F4" s="12" t="str">
        <x:v>온라인 견적 08-연동-1 단가</x:v>
      </x:c>
    </x:row>
    <x:row r="5" ht="15" hidden="0" customHeight="1">
      <x:c r="A5" s="12" t="str">
        <x:v>행잉거터·고설베드</x:v>
      </x:c>
      <x:c r="B5" s="12" t="str">
        <x:v>평</x:v>
      </x:c>
      <x:c r="C5" s="15" t="n">
        <x:v>4500</x:v>
      </x:c>
      <x:c r="D5" s="15" t="n">
        <x:v>120000</x:v>
      </x:c>
      <x:c r="E5" s="15" t="n">
        <x:f>C5*D5</x:f>
        <x:v>540000000</x:v>
      </x:c>
      <x:c r="F5" s="12" t="str">
        <x:v>딸기 고설재배 생산라인</x:v>
      </x:c>
    </x:row>
    <x:row r="6" ht="15" hidden="0" customHeight="1">
      <x:c r="A6" s="12" t="str">
        <x:v>양액·관수설비</x:v>
      </x:c>
      <x:c r="B6" s="12" t="str">
        <x:v>평</x:v>
      </x:c>
      <x:c r="C6" s="15" t="n">
        <x:v>4500</x:v>
      </x:c>
      <x:c r="D6" s="15" t="n">
        <x:v>85000</x:v>
      </x:c>
      <x:c r="E6" s="15" t="n">
        <x:f>C6*D6</x:f>
        <x:v>382500000</x:v>
      </x:c>
      <x:c r="F6" s="12" t="str">
        <x:v>양액기, 관수라인</x:v>
      </x:c>
    </x:row>
    <x:row r="7" ht="15" hidden="0" customHeight="1">
      <x:c r="A7" s="12" t="str">
        <x:v>전기·수배전</x:v>
      </x:c>
      <x:c r="B7" s="12" t="str">
        <x:v>평</x:v>
      </x:c>
      <x:c r="C7" s="15" t="n">
        <x:v>4500</x:v>
      </x:c>
      <x:c r="D7" s="15" t="n">
        <x:v>55000</x:v>
      </x:c>
      <x:c r="E7" s="15" t="n">
        <x:f>C7*D7</x:f>
        <x:v>247500000</x:v>
      </x:c>
      <x:c r="F7" s="12" t="str">
        <x:v>간선·분전·통신</x:v>
      </x:c>
    </x:row>
    <x:row r="8" ht="15" hidden="0" customHeight="1">
      <x:c r="A8" s="12" t="str">
        <x:v>MESH 환경제어</x:v>
      </x:c>
      <x:c r="B8" s="12" t="str">
        <x:v>식</x:v>
      </x:c>
      <x:c r="C8" s="15" t="n">
        <x:v>1</x:v>
      </x:c>
      <x:c r="D8" s="15" t="n">
        <x:v>55000000</x:v>
      </x:c>
      <x:c r="E8" s="15" t="n">
        <x:f>C8*D8</x:f>
        <x:v>55000000</x:v>
      </x:c>
      <x:c r="F8" s="12" t="str">
        <x:v>대형 현장 예비</x:v>
      </x:c>
    </x:row>
    <x:row r="9" ht="15" hidden="0" customHeight="1">
      <x:c r="A9" s="12" t="str">
        <x:v>전처리·선별실</x:v>
      </x:c>
      <x:c r="B9" s="12" t="str">
        <x:v>평</x:v>
      </x:c>
      <x:c r="C9" s="15" t="n">
        <x:v>135</x:v>
      </x:c>
      <x:c r="D9" s="15" t="n">
        <x:v>2000000</x:v>
      </x:c>
      <x:c r="E9" s="15" t="n">
        <x:f>C9*D9</x:f>
        <x:v>270000000</x:v>
      </x:c>
      <x:c r="F9" s="12" t="str">
        <x:v>하우스 면적 3%</x:v>
      </x:c>
    </x:row>
    <x:row r="10" ht="15" hidden="0" customHeight="1">
      <x:c r="A10" s="12" t="str">
        <x:v>세척·작업실</x:v>
      </x:c>
      <x:c r="B10" s="12" t="str">
        <x:v>평</x:v>
      </x:c>
      <x:c r="C10" s="15" t="n">
        <x:v>45</x:v>
      </x:c>
      <x:c r="D10" s="15" t="n">
        <x:v>2000000</x:v>
      </x:c>
      <x:c r="E10" s="15" t="n">
        <x:f>C10*D10</x:f>
        <x:v>90000000</x:v>
      </x:c>
      <x:c r="F10" s="12" t="str">
        <x:v>하우스 면적 1%</x:v>
      </x:c>
    </x:row>
    <x:row r="11" ht="15" hidden="0" customHeight="1">
      <x:c r="A11" s="12" t="str">
        <x:v>예냉·냉장창고</x:v>
      </x:c>
      <x:c r="B11" s="12" t="str">
        <x:v>평</x:v>
      </x:c>
      <x:c r="C11" s="15" t="n">
        <x:v>67.5</x:v>
      </x:c>
      <x:c r="D11" s="15" t="n">
        <x:v>4500000</x:v>
      </x:c>
      <x:c r="E11" s="15" t="n">
        <x:f>C11*D11</x:f>
        <x:v>303750000</x:v>
      </x:c>
      <x:c r="F11" s="12" t="str">
        <x:v>하우스 면적 1.5%</x:v>
      </x:c>
    </x:row>
    <x:row r="12" ht="15" hidden="0" customHeight="1">
      <x:c r="A12" s="12" t="str">
        <x:v>자재·기계실</x:v>
      </x:c>
      <x:c r="B12" s="12" t="str">
        <x:v>평</x:v>
      </x:c>
      <x:c r="C12" s="15" t="n">
        <x:v>22.5</x:v>
      </x:c>
      <x:c r="D12" s="15" t="n">
        <x:v>2500000</x:v>
      </x:c>
      <x:c r="E12" s="15" t="n">
        <x:f>C12*D12</x:f>
        <x:v>56250000</x:v>
      </x:c>
      <x:c r="F12" s="12" t="str">
        <x:v>하우스 면적 0.5%</x:v>
      </x:c>
    </x:row>
    <x:row r="13" ht="15" hidden="0" customHeight="1">
      <x:c r="A13" s="12"/>
      <x:c r="B13" s="12"/>
      <x:c r="C13" s="15"/>
      <x:c r="D13" s="15"/>
      <x:c r="E13" s="15"/>
      <x:c r="F13" s="12"/>
    </x:row>
    <x:row r="14" ht="15" hidden="0" customHeight="1">
      <x:c r="A14" s="12" t="str">
        <x:v>합계</x:v>
      </x:c>
      <x:c r="B14" s="12" t="str"/>
      <x:c r="C14" s="15" t="str"/>
      <x:c r="D14" s="15" t="str"/>
      <x:c r="E14" s="15" t="n">
        <x:f>SUM(E4:E12)</x:f>
        <x:v>3686500000</x:v>
      </x:c>
      <x:c r="F14" s="12" t="str">
        <x:v>VAT 제외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29999923706055" hidden="0" customWidth="1"/>
    <x:col min="2" max="2" width="12.4399995803833" hidden="0" customWidth="1"/>
    <x:col min="3" max="3" width="25.110000610351562" hidden="0" customWidth="1"/>
    <x:col min="4" max="4" width="7.329999923706055" hidden="0" customWidth="1"/>
    <x:col min="5" max="5" width="6.889999866485596" hidden="0" customWidth="1"/>
    <x:col min="6" max="6" width="6.889999866485596" hidden="0" customWidth="1"/>
    <x:col min="7" max="7" width="9.890000343322754" hidden="0" customWidth="1"/>
    <x:col min="8" max="8" width="10" hidden="0" customWidth="1"/>
  </x:cols>
  <x:sheetData>
    <x:row r="1" ht="15" hidden="0" customHeight="1">
      <x:c r="A1" s="20" t="str">
        <x:v>생산량 시나리오 - 딸기 고설재배</x:v>
      </x:c>
      <x:c r="B1" s="20"/>
      <x:c r="C1" s="20"/>
      <x:c r="D1" s="20"/>
      <x:c r="E1" s="20"/>
      <x:c r="F1" s="20"/>
      <x:c r="G1" s="20"/>
      <x:c r="H1" s="20"/>
    </x:row>
    <x:row r="2" ht="15" hidden="0" customHeight="1">
      <x:c r="A2" s="22" t="str">
        <x:v>구분</x:v>
      </x:c>
      <x:c r="B2" s="22" t="str">
        <x:v>하우스 평</x:v>
      </x:c>
      <x:c r="C2" s="22" t="str">
        <x:v>하우스 ㎡</x:v>
      </x:c>
      <x:c r="D2" s="22" t="str">
        <x:v>유효재배 ㎡</x:v>
      </x:c>
      <x:c r="E2" s="22" t="str">
        <x:v>수량 kg/㎡</x:v>
      </x:c>
      <x:c r="F2" s="22" t="str">
        <x:v>생산량 t/년</x:v>
      </x:c>
      <x:c r="G2" s="22" t="str">
        <x:v>평균 단가 원/kg</x:v>
      </x:c>
      <x:c r="H2" s="22" t="str">
        <x:v>매출 추정</x:v>
      </x:c>
    </x:row>
    <x:row r="3" ht="15" hidden="0" customHeight="1">
      <x:c r="A3" s="12" t="str">
        <x:v>보수</x:v>
      </x:c>
      <x:c r="B3" s="15" t="n">
        <x:v>4000</x:v>
      </x:c>
      <x:c r="C3" s="15" t="n">
        <x:v>13223.2</x:v>
      </x:c>
      <x:c r="D3" s="15" t="n">
        <x:v>10578.560000000001</x:v>
      </x:c>
      <x:c r="E3" s="16" t="n">
        <x:v>5.5</x:v>
      </x:c>
      <x:c r="F3" s="16" t="n">
        <x:f>D3*E3/1000</x:f>
        <x:v>58.182080000000006</x:v>
      </x:c>
      <x:c r="G3" s="15" t="n">
        <x:v>8000</x:v>
      </x:c>
      <x:c r="H3" s="15" t="n">
        <x:f>D3*E3*G3</x:f>
        <x:v>465456640.00000006</x:v>
      </x:c>
    </x:row>
    <x:row r="4" ht="15" hidden="0" customHeight="1">
      <x:c r="A4" s="12" t="str">
        <x:v>기준</x:v>
      </x:c>
      <x:c r="B4" s="15" t="n">
        <x:v>4500</x:v>
      </x:c>
      <x:c r="C4" s="15" t="n">
        <x:v>14876.1</x:v>
      </x:c>
      <x:c r="D4" s="15" t="n">
        <x:v>11900.880000000001</x:v>
      </x:c>
      <x:c r="E4" s="16" t="n">
        <x:v>7.114343434343434</x:v>
      </x:c>
      <x:c r="F4" s="16" t="n">
        <x:f>D4*E4/1000</x:f>
        <x:v>84.6669474909091</x:v>
      </x:c>
      <x:c r="G4" s="15" t="n">
        <x:v>10000</x:v>
      </x:c>
      <x:c r="H4" s="15" t="n">
        <x:f>D4*E4*G4</x:f>
        <x:v>846669474.9090909</x:v>
      </x:c>
    </x:row>
    <x:row r="5" ht="15" hidden="0" customHeight="1">
      <x:c r="A5" s="12" t="str">
        <x:v>상향</x:v>
      </x:c>
      <x:c r="B5" s="15" t="n">
        <x:v>5000</x:v>
      </x:c>
      <x:c r="C5" s="15" t="n">
        <x:v>16529</x:v>
      </x:c>
      <x:c r="D5" s="15" t="n">
        <x:v>13223.2</x:v>
      </x:c>
      <x:c r="E5" s="16" t="n">
        <x:v>8.5</x:v>
      </x:c>
      <x:c r="F5" s="16" t="n">
        <x:f>D5*E5/1000</x:f>
        <x:v>112.39720000000001</x:v>
      </x:c>
      <x:c r="G5" s="15" t="n">
        <x:v>12000</x:v>
      </x:c>
      <x:c r="H5" s="15" t="n">
        <x:f>D5*E5*G5</x:f>
        <x:v>1348766400.0000002</x:v>
      </x:c>
    </x:row>
    <x:row r="6" ht="15" hidden="0" customHeight="1">
      <x:c r="A6" s="21"/>
      <x:c r="B6" s="21"/>
      <x:c r="C6" s="21"/>
      <x:c r="D6" s="21"/>
      <x:c r="E6" s="21"/>
      <x:c r="F6" s="21"/>
      <x:c r="G6" s="21"/>
      <x:c r="H6" s="21"/>
    </x:row>
    <x:row r="7" ht="15" hidden="0" customHeight="1">
      <x:c r="A7" s="21"/>
      <x:c r="B7" s="21"/>
      <x:c r="C7" s="21"/>
      <x:c r="D7" s="21"/>
      <x:c r="E7" s="21"/>
      <x:c r="F7" s="21"/>
      <x:c r="G7" s="21"/>
      <x:c r="H7" s="21"/>
    </x:row>
    <x:row r="8" ht="15" hidden="0" customHeight="1">
      <x:c r="A8" s="22" t="str">
        <x:v>가정</x:v>
      </x:c>
      <x:c r="B8" s="22" t="str">
        <x:v>값</x:v>
      </x:c>
      <x:c r="C8" s="22" t="str">
        <x:v>설명</x:v>
      </x:c>
      <x:c r="D8" s="21"/>
      <x:c r="E8" s="21"/>
      <x:c r="F8" s="21"/>
      <x:c r="G8" s="21"/>
      <x:c r="H8" s="21"/>
    </x:row>
    <x:row r="9" ht="15" hidden="0" customHeight="1">
      <x:c r="A9" s="12" t="str">
        <x:v>유효재배면적</x:v>
      </x:c>
      <x:c r="B9" s="12" t="str">
        <x:v>80%</x:v>
      </x:c>
      <x:c r="C9" s="12" t="str">
        <x:v>통로, 작업공간, 설비구역 제외</x:v>
      </x:c>
      <x:c r="D9" s="21"/>
      <x:c r="E9" s="21"/>
      <x:c r="F9" s="21"/>
      <x:c r="G9" s="21"/>
      <x:c r="H9" s="21"/>
    </x:row>
    <x:row r="10" ht="15" hidden="0" customHeight="1">
      <x:c r="A10" s="12" t="str">
        <x:v>보수 수량</x:v>
      </x:c>
      <x:c r="B10" s="12" t="str">
        <x:v>5.5 kg/㎡</x:v>
      </x:c>
      <x:c r="C10" s="12" t="str">
        <x:v>초기 안정화·보수 판매 기준</x:v>
      </x:c>
      <x:c r="D10" s="21"/>
      <x:c r="E10" s="21"/>
      <x:c r="F10" s="21"/>
      <x:c r="G10" s="21"/>
      <x:c r="H10" s="21"/>
    </x:row>
    <x:row r="11" ht="15" hidden="0" customHeight="1">
      <x:c r="A11" s="12" t="str">
        <x:v>기준 수량</x:v>
      </x:c>
      <x:c r="B11" s="12" t="str">
        <x:v>7.1 kg/㎡</x:v>
      </x:c>
      <x:c r="C11" s="12" t="str">
        <x:v>논산 3,000평 딸기농장 수익분석자료 기준</x:v>
      </x:c>
      <x:c r="D11" s="21"/>
      <x:c r="E11" s="21"/>
      <x:c r="F11" s="21"/>
      <x:c r="G11" s="21"/>
      <x:c r="H11" s="21"/>
    </x:row>
    <x:row r="12" ht="15" hidden="0" customHeight="1">
      <x:c r="A12" s="12" t="str">
        <x:v>상향 수량</x:v>
      </x:c>
      <x:c r="B12" s="12" t="str">
        <x:v>8.5 kg/㎡</x:v>
      </x:c>
      <x:c r="C12" s="12" t="str">
        <x:v>품종·환경·작업 안정화 시</x:v>
      </x:c>
      <x:c r="D12" s="21"/>
      <x:c r="E12" s="21"/>
      <x:c r="F12" s="21"/>
      <x:c r="G12" s="21"/>
      <x:c r="H12" s="21"/>
    </x:row>
    <x:row r="13" ht="15" hidden="0" customHeight="1">
      <x:c r="A13" s="12" t="str">
        <x:v>판매단가</x:v>
      </x:c>
      <x:c r="B13" s="12" t="str">
        <x:v>8,000-12,000원/kg</x:v>
      </x:c>
      <x:c r="C13" s="12" t="str">
        <x:v>도매·직판·체험 판매 혼합 전</x:v>
      </x:c>
      <x:c r="D13" s="21"/>
      <x:c r="E13" s="21"/>
      <x:c r="F13" s="21"/>
      <x:c r="G13" s="21"/>
      <x:c r="H13" s="21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26.670000076293945" hidden="0" customWidth="1"/>
    <x:col min="3" max="3" width="19.780000686645508" hidden="0" customWidth="1"/>
    <x:col min="4" max="4" width="11.109999656677246" hidden="0" customWidth="1"/>
    <x:col min="5" max="5" width="14.670000076293945" hidden="0" customWidth="1"/>
    <x:col min="6" max="6" width="61.88999938964844" hidden="0" customWidth="1"/>
  </x:cols>
  <x:sheetData>
    <x:row r="1" ht="15" hidden="0" customHeight="1">
      <x:c r="A1" s="9" t="str">
        <x:v>단가기준 및 출처</x:v>
      </x:c>
      <x:c r="B1" s="9"/>
      <x:c r="C1" s="9"/>
      <x:c r="D1" s="9"/>
      <x:c r="E1" s="9"/>
      <x:c r="F1" s="9"/>
    </x:row>
    <x:row r="2" ht="15" hidden="0" customHeight="1">
      <x:c r="A2" s="10"/>
      <x:c r="B2" s="10"/>
      <x:c r="C2" s="10"/>
      <x:c r="D2" s="10"/>
      <x:c r="E2" s="10"/>
      <x:c r="F2" s="10"/>
    </x:row>
    <x:row r="3" ht="15" hidden="0" customHeight="1">
      <x:c r="A3" s="13" t="str">
        <x:v>구분</x:v>
      </x:c>
      <x:c r="B3" s="13" t="str">
        <x:v>코드/파일</x:v>
      </x:c>
      <x:c r="C3" s="13" t="str">
        <x:v>단가/내용</x:v>
      </x:c>
      <x:c r="D3" s="13" t="str">
        <x:v>면적</x:v>
      </x:c>
      <x:c r="E3" s="13" t="str">
        <x:v>비고</x:v>
      </x:c>
      <x:c r="F3" s="13" t="str">
        <x:v>출처</x:v>
      </x:c>
    </x:row>
    <x:row r="4" ht="15" hidden="0" customHeight="1">
      <x:c r="A4" s="12" t="str">
        <x:v>온라인 견적</x:v>
      </x:c>
      <x:c r="B4" s="12" t="str">
        <x:v>08-연동-1</x:v>
      </x:c>
      <x:c r="C4" s="12" t="str">
        <x:v>387,000원/평</x:v>
      </x:c>
      <x:c r="D4" s="12" t="str">
        <x:v>698평 샘플</x:v>
      </x:c>
      <x:c r="E4" s="12" t="str">
        <x:v>연동형 최저 기준</x:v>
      </x:c>
      <x:c r="F4" s="12" t="str">
        <x:v>웹 공개 견적 데이터</x:v>
      </x:c>
    </x:row>
    <x:row r="5" ht="15" hidden="0" customHeight="1">
      <x:c r="A5" s="12" t="str">
        <x:v>온라인 견적</x:v>
      </x:c>
      <x:c r="B5" s="12" t="str">
        <x:v>07-연동-1</x:v>
      </x:c>
      <x:c r="C5" s="12" t="str">
        <x:v>420,000원/평</x:v>
      </x:c>
      <x:c r="D5" s="12" t="str">
        <x:v>318평 샘플</x:v>
      </x:c>
      <x:c r="E5" s="12" t="str">
        <x:v>연동형 보급형</x:v>
      </x:c>
      <x:c r="F5" s="12" t="str">
        <x:v>웹 공개 견적 데이터</x:v>
      </x:c>
    </x:row>
    <x:row r="6" ht="15" hidden="0" customHeight="1">
      <x:c r="A6" s="12" t="str">
        <x:v>온라인 견적</x:v>
      </x:c>
      <x:c r="B6" s="12" t="str">
        <x:v>10-연동-1</x:v>
      </x:c>
      <x:c r="C6" s="12" t="str">
        <x:v>544,000원/평</x:v>
      </x:c>
      <x:c r="D6" s="12" t="str">
        <x:v>720평 샘플</x:v>
      </x:c>
      <x:c r="E6" s="12" t="str">
        <x:v>연동형 중앙값</x:v>
      </x:c>
      <x:c r="F6" s="12" t="str">
        <x:v>웹 공개 견적 데이터</x:v>
      </x:c>
    </x:row>
    <x:row r="7" ht="15" hidden="0" customHeight="1">
      <x:c r="A7" s="12" t="str">
        <x:v>온라인 견적</x:v>
      </x:c>
      <x:c r="B7" s="12" t="str">
        <x:v>12-연동-1</x:v>
      </x:c>
      <x:c r="C7" s="12" t="str">
        <x:v>584,000원/평</x:v>
      </x:c>
      <x:c r="D7" s="12" t="str">
        <x:v>611평 샘플</x:v>
      </x:c>
      <x:c r="E7" s="12" t="str">
        <x:v>고측고 기준</x:v>
      </x:c>
      <x:c r="F7" s="12" t="str">
        <x:v>웹 공개 견적 데이터</x:v>
      </x:c>
    </x:row>
    <x:row r="8" ht="15" hidden="0" customHeight="1">
      <x:c r="A8" s="12" t="str">
        <x:v>온라인 견적</x:v>
      </x:c>
      <x:c r="B8" s="12" t="str">
        <x:v>10-연동-2</x:v>
      </x:c>
      <x:c r="C8" s="12" t="str">
        <x:v>627,000원/평</x:v>
      </x:c>
      <x:c r="D8" s="12" t="str">
        <x:v>720평 샘플</x:v>
      </x:c>
      <x:c r="E8" s="12" t="str">
        <x:v>연동형 상향 기준</x:v>
      </x:c>
      <x:c r="F8" s="12" t="str">
        <x:v>웹 공개 견적 데이터</x:v>
      </x:c>
    </x:row>
    <x:row r="9" ht="15" hidden="0" customHeight="1">
      <x:c r="A9" s="12" t="str">
        <x:v>금속창호스터디</x:v>
      </x:c>
      <x:c r="B9" s="12" t="str">
        <x:v>만나씨이에이 오크벨리 내역서_240424.xlsx</x:v>
      </x:c>
      <x:c r="C9" s="12" t="str">
        <x:v>406,000,000원</x:v>
      </x:c>
      <x:c r="D9" s="12" t="str"/>
      <x:c r="E9" s="12" t="str">
        <x:v>공종 구조 참고</x:v>
      </x:c>
      <x:c r="F9" s="12" t="str">
        <x:v>/Users/taebyoungjeon/Documents/금속창호스터디</x:v>
      </x:c>
    </x:row>
    <x:row r="10" ht="15" hidden="0" customHeight="1">
      <x:c r="A10" s="12" t="str">
        <x:v>금속창호스터디</x:v>
      </x:c>
      <x:c r="B10" s="12" t="str">
        <x:v>learning_notes.md</x:v>
      </x:c>
      <x:c r="C10" s="12" t="str">
        <x:v>내재해형 설계도·시방서 학습</x:v>
      </x:c>
      <x:c r="D10" s="12" t="str"/>
      <x:c r="E10" s="12" t="str">
        <x:v>공정·부속명 참고</x:v>
      </x:c>
      <x:c r="F10" s="12" t="str">
        <x:v>/Users/taebyoungjeon/Documents/IR 자료 작성/IR with AI/outputs/greenhouse_standard_study</x:v>
      </x:c>
    </x:row>
    <x:row r="11" ht="15" hidden="0" customHeight="1">
      <x:c r="A11" s="12" t="str">
        <x:v>산정 가정</x:v>
      </x:c>
      <x:c r="B11" s="12" t="str">
        <x:v>전처리·냉장창고</x:v>
      </x:c>
      <x:c r="C11" s="12" t="str">
        <x:v>하우스 면적의 5-7%</x:v>
      </x:c>
      <x:c r="D11" s="12" t="str">
        <x:v>기준 6%</x:v>
      </x:c>
      <x:c r="E11" s="12" t="str">
        <x:v>딸기 선별·예냉·저온출하</x:v>
      </x:c>
      <x:c r="F11" s="12" t="str">
        <x:v>작성자 임의 예비 산정</x:v>
      </x:c>
    </x:row>
    <x:row r="12" ht="15" hidden="0" customHeight="1">
      <x:c r="A12" s="12" t="str">
        <x:v>수익분석자료</x:v>
      </x:c>
      <x:c r="B12" s="12" t="str">
        <x:v>3000평 딸기농장 수익분석자료.pdf</x:v>
      </x:c>
      <x:c r="C12" s="12" t="str">
        <x:v>70,432kg / 9,900㎡ = 7.1kg/㎡</x:v>
      </x:c>
      <x:c r="D12" s="12" t="str">
        <x:v>9,900㎡</x:v>
      </x:c>
      <x:c r="E12" s="12" t="str">
        <x:v>기준 생산성 반영</x:v>
      </x:c>
      <x:c r="F12" s="12" t="str">
        <x:v>/Users/taebyoungjeon/Documents/영업자료_사업수행/논산딸기농장(태성화학)</x:v>
      </x:c>
    </x:row>
    <x:row r="13" ht="24" hidden="0" customHeight="1">
      <x:c r="A13" s="12" t="str">
        <x:v>산정 가정</x:v>
      </x:c>
      <x:c r="B13" s="12" t="str">
        <x:v>생산량</x:v>
      </x:c>
      <x:c r="C13" s="12" t="str">
        <x:v>5.5-8.5kg/㎡/년</x:v>
      </x:c>
      <x:c r="D13" s="12" t="str">
        <x:v>유효재배면적 기준</x:v>
      </x:c>
      <x:c r="E13" s="12" t="str">
        <x:v>딸기 고설재배 예비</x:v>
      </x:c>
      <x:c r="F13" s="12" t="str">
        <x:v>작성자 임의 예비 산정</x:v>
      </x:c>
    </x:row>
  </x:sheetData>
  <x:mergeCells>
    <x:mergeCell ref="A1:F1"/>
  </x:mergeCells>
  <x:pageMargins left="0.7" right="0.7" top="0.75" bottom="0.75" header="0.3" footer="0.3"/>
</x:worksheet>
</file>